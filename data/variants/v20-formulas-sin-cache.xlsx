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DESCRIPCION</t>
        </is>
      </c>
      <c r="C1" t="inlineStr">
        <is>
          <t>MATERIAL</t>
        </is>
      </c>
      <c r="D1" t="inlineStr">
        <is>
          <t>MEDIDA</t>
        </is>
      </c>
      <c r="E1" t="inlineStr">
        <is>
          <t>CANT.</t>
        </is>
      </c>
      <c r="F1" t="inlineStr">
        <is>
          <t>UD</t>
        </is>
      </c>
    </row>
    <row r="2">
      <c r="A2" t="n">
        <v>1</v>
      </c>
      <c r="B2" t="inlineStr">
        <is>
          <t>STUD BOLT 7/8" X 130 LG, ASTM A193, GR B7 W/2 HEX. NUT 7/8", ASTM A194, GR 2H, 2 WASHER 7/8", ASTM F436</t>
        </is>
      </c>
      <c r="C2" t="inlineStr">
        <is>
          <t>ASTM A193 GR B7/A194 GR 2H</t>
        </is>
      </c>
      <c r="D2" t="inlineStr">
        <is>
          <t>7/8" X 130</t>
        </is>
      </c>
      <c r="E2">
        <f>40</f>
        <v/>
      </c>
      <c r="F2" t="inlineStr">
        <is>
          <t>uds</t>
        </is>
      </c>
    </row>
    <row r="3">
      <c r="A3" t="n">
        <v>2</v>
      </c>
      <c r="B3" t="inlineStr">
        <is>
          <t>BOLT DIN931 M20x90 with NUT DIN934 M20</t>
        </is>
      </c>
      <c r="C3" t="inlineStr">
        <is>
          <t>A4-70</t>
        </is>
      </c>
      <c r="D3" t="inlineStr">
        <is>
          <t>M20x90</t>
        </is>
      </c>
      <c r="E3">
        <f>160</f>
        <v/>
      </c>
      <c r="F3" t="inlineStr">
        <is>
          <t>uds</t>
        </is>
      </c>
    </row>
    <row r="4">
      <c r="A4" t="n">
        <v>3</v>
      </c>
      <c r="B4" t="inlineStr">
        <is>
          <t>Tornillo hexagonal DIN 933 M12 x 50 con tuerca y arandela</t>
        </is>
      </c>
      <c r="C4" t="inlineStr">
        <is>
          <t>A2</t>
        </is>
      </c>
      <c r="D4" t="inlineStr">
        <is>
          <t>M12x50</t>
        </is>
      </c>
      <c r="E4">
        <f>80</f>
        <v/>
      </c>
      <c r="F4" t="inlineStr">
        <is>
          <t>uds</t>
        </is>
      </c>
    </row>
    <row r="5">
      <c r="A5" t="n">
        <v>4</v>
      </c>
      <c r="B5" t="inlineStr">
        <is>
          <t>BOLT DIN933 M16x60 with NUT DIN934 and WASHER DIN125, 8.8, zinc plated</t>
        </is>
      </c>
      <c r="C5" t="inlineStr">
        <is>
          <t>8.8</t>
        </is>
      </c>
      <c r="D5" t="inlineStr">
        <is>
          <t>M16x60</t>
        </is>
      </c>
      <c r="E5">
        <f>100</f>
        <v/>
      </c>
      <c r="F5" t="inlineStr">
        <is>
          <t>uds</t>
        </is>
      </c>
    </row>
    <row r="6">
      <c r="A6" t="n">
        <v>5</v>
      </c>
      <c r="B6" t="inlineStr">
        <is>
          <t>STUD BOLT 1" X 150 LG, ASTM A193, GR B7, W/ 2 NUT ASTM A194, GR 2H, 1 WASHER ASTM F436</t>
        </is>
      </c>
      <c r="C6" t="inlineStr">
        <is>
          <t>ASTM A193 GR B7</t>
        </is>
      </c>
      <c r="D6" t="inlineStr">
        <is>
          <t>1" X 150</t>
        </is>
      </c>
      <c r="E6">
        <f>24</f>
        <v/>
      </c>
      <c r="F6" t="inlineStr">
        <is>
          <t>uds</t>
        </is>
      </c>
    </row>
    <row r="7">
      <c r="A7" t="n">
        <v>6</v>
      </c>
      <c r="B7" t="inlineStr">
        <is>
          <t>Tornillo DIN 931 M16 x 80 con tuerca DIN 934, 8.8, zincado</t>
        </is>
      </c>
      <c r="C7" t="inlineStr">
        <is>
          <t>8.8</t>
        </is>
      </c>
      <c r="D7" t="inlineStr">
        <is>
          <t>M16x80</t>
        </is>
      </c>
      <c r="E7">
        <f>60</f>
        <v/>
      </c>
      <c r="F7" t="inlineStr">
        <is>
          <t>uds</t>
        </is>
      </c>
    </row>
    <row r="8">
      <c r="A8" t="n">
        <v>7</v>
      </c>
      <c r="B8" t="inlineStr">
        <is>
          <t>BOLT DIN931 M12x60 A4-70 with NUT DIN934 M12 A4-80</t>
        </is>
      </c>
      <c r="C8" t="inlineStr">
        <is>
          <t>A4-70</t>
        </is>
      </c>
      <c r="D8" t="inlineStr">
        <is>
          <t>M12x60</t>
        </is>
      </c>
      <c r="E8">
        <f>50</f>
        <v/>
      </c>
      <c r="F8" t="inlineStr">
        <is>
          <t>uds</t>
        </is>
      </c>
    </row>
    <row r="9">
      <c r="A9" t="n">
        <v>8</v>
      </c>
      <c r="B9" t="inlineStr">
        <is>
          <t>HEX BOLT M16 x 70 c/w NUT AND WASHER, 8.8, ZN</t>
        </is>
      </c>
      <c r="C9" t="inlineStr">
        <is>
          <t>8.8</t>
        </is>
      </c>
      <c r="D9" t="inlineStr">
        <is>
          <t>M16x70</t>
        </is>
      </c>
      <c r="E9">
        <f>75</f>
        <v/>
      </c>
      <c r="F9" t="inlineStr">
        <is>
          <t>uds</t>
        </is>
      </c>
    </row>
    <row r="10">
      <c r="A10" t="n">
        <v>9</v>
      </c>
      <c r="B10" t="inlineStr">
        <is>
          <t>Conjunto esparrago M20 x 200 DIN 975 con 2 tuercas DIN 934 y 2 arandelas DIN 125, 8.8, zincado</t>
        </is>
      </c>
      <c r="C10" t="inlineStr">
        <is>
          <t>8.8</t>
        </is>
      </c>
      <c r="D10" t="inlineStr">
        <is>
          <t>M20x200</t>
        </is>
      </c>
      <c r="E10">
        <f>30</f>
        <v/>
      </c>
      <c r="F10" t="inlineStr">
        <is>
          <t>uds</t>
        </is>
      </c>
    </row>
    <row r="11">
      <c r="A11" t="n">
        <v>10</v>
      </c>
      <c r="B11" t="inlineStr">
        <is>
          <t>Tornillo hexagonal DIN 933 M10 x 40, 8.8, zincado</t>
        </is>
      </c>
      <c r="C11" t="inlineStr">
        <is>
          <t>8.8</t>
        </is>
      </c>
      <c r="D11" t="inlineStr">
        <is>
          <t>M10x40</t>
        </is>
      </c>
      <c r="E11">
        <f>500</f>
        <v/>
      </c>
      <c r="F11" t="inlineStr">
        <is>
          <t>uds</t>
        </is>
      </c>
    </row>
    <row r="12">
      <c r="A12" t="n">
        <v>11</v>
      </c>
      <c r="B12" t="inlineStr">
        <is>
          <t>Tuerca hexagonal DIN 934 M16, A4-80</t>
        </is>
      </c>
      <c r="C12" t="inlineStr">
        <is>
          <t>A4-80</t>
        </is>
      </c>
      <c r="D12" t="inlineStr">
        <is>
          <t>M16</t>
        </is>
      </c>
      <c r="E12">
        <f>200</f>
        <v/>
      </c>
      <c r="F12" t="inlineStr">
        <is>
          <t>uds</t>
        </is>
      </c>
    </row>
    <row r="13">
      <c r="A13" t="n">
        <v>12</v>
      </c>
      <c r="B13" t="inlineStr">
        <is>
          <t>STUD BOLT 3/4" X 110 LG, ASTM A193, GR B7</t>
        </is>
      </c>
      <c r="C13" t="inlineStr">
        <is>
          <t>ASTM A193 GR B7</t>
        </is>
      </c>
      <c r="D13" t="inlineStr">
        <is>
          <t>3/4" X 110</t>
        </is>
      </c>
      <c r="E13">
        <f>40</f>
        <v/>
      </c>
      <c r="F13" t="inlineStr">
        <is>
          <t>uds</t>
        </is>
      </c>
    </row>
    <row r="14">
      <c r="A14" t="n">
        <v>13</v>
      </c>
      <c r="B14" t="inlineStr">
        <is>
          <t>Tuerca autoblocante DIN 985 M12, 8.8, zincada</t>
        </is>
      </c>
      <c r="C14" t="inlineStr">
        <is>
          <t>8.8</t>
        </is>
      </c>
      <c r="D14" t="inlineStr">
        <is>
          <t>M12</t>
        </is>
      </c>
      <c r="E14">
        <f>300</f>
        <v/>
      </c>
      <c r="F14" t="inlineStr">
        <is>
          <t>uds</t>
        </is>
      </c>
    </row>
    <row r="15">
      <c r="A15" t="n">
        <v>14</v>
      </c>
      <c r="B15" t="inlineStr">
        <is>
          <t>Arandela plana DIN 125 M10, acero, zincada</t>
        </is>
      </c>
      <c r="C15" t="inlineStr">
        <is>
          <t>acero</t>
        </is>
      </c>
      <c r="D15" t="inlineStr">
        <is>
          <t>M10</t>
        </is>
      </c>
      <c r="E15">
        <f>250</f>
        <v/>
      </c>
      <c r="F15" t="inlineStr">
        <is>
          <t>uds</t>
        </is>
      </c>
    </row>
    <row r="16">
      <c r="A16" t="n">
        <v>15</v>
      </c>
      <c r="B16" t="inlineStr">
        <is>
          <t>Tornillo Allen cilindrico DIN 912 M10 x 40, 12.9, geomet</t>
        </is>
      </c>
      <c r="C16" t="inlineStr">
        <is>
          <t>12.9</t>
        </is>
      </c>
      <c r="D16" t="inlineStr">
        <is>
          <t>M10x40</t>
        </is>
      </c>
      <c r="E16">
        <f>120</f>
        <v/>
      </c>
      <c r="F16" t="inlineStr">
        <is>
          <t>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2026-08-24T22:16:29Z</dcterms:created>
  <dcterms:modified xsi:type="dcterms:W3CDTF">2026-08-24T22:16:29Z</dcterms:modified>
</cp:coreProperties>
</file>